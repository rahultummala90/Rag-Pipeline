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Monthly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6A34A"/>
      <sz val="10"/>
    </font>
    <font>
      <name val="Arial"/>
      <b val="1"/>
      <color rgb="002563EB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164" fontId="8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8" customWidth="1" min="5" max="5"/>
    <col width="14" customWidth="1" min="6" max="6"/>
    <col width="8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 ht="30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Salesperson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Unit Price ($)</t>
        </is>
      </c>
      <c r="I1" s="1" t="inlineStr">
        <is>
          <t>Revenue ($)</t>
        </is>
      </c>
      <c r="J1" s="1" t="inlineStr">
        <is>
          <t>Cost ($)</t>
        </is>
      </c>
      <c r="K1" s="1" t="inlineStr">
        <is>
          <t>Profit ($)</t>
        </is>
      </c>
      <c r="L1" s="1" t="inlineStr">
        <is>
          <t>Margin (%)</t>
        </is>
      </c>
    </row>
    <row r="2">
      <c r="A2" s="2" t="inlineStr">
        <is>
          <t>ORD-001</t>
        </is>
      </c>
      <c r="B2" s="3" t="inlineStr">
        <is>
          <t>2024-01-05</t>
        </is>
      </c>
      <c r="C2" s="3" t="inlineStr">
        <is>
          <t>Alice Johnson</t>
        </is>
      </c>
      <c r="D2" s="2" t="inlineStr">
        <is>
          <t>North</t>
        </is>
      </c>
      <c r="E2" s="3" t="inlineStr">
        <is>
          <t>Laptop Pro 15</t>
        </is>
      </c>
      <c r="F2" s="2" t="inlineStr">
        <is>
          <t>Electronics</t>
        </is>
      </c>
      <c r="G2" s="4" t="n">
        <v>12</v>
      </c>
      <c r="H2" s="5" t="n">
        <v>1299</v>
      </c>
      <c r="I2" s="5">
        <f>G2*H2</f>
        <v/>
      </c>
      <c r="J2" s="5">
        <f>I2*0.62</f>
        <v/>
      </c>
      <c r="K2" s="5">
        <f>I2-J2</f>
        <v/>
      </c>
      <c r="L2" s="6">
        <f>IF(I2=0,"-",K2/I2)</f>
        <v/>
      </c>
    </row>
    <row r="3">
      <c r="A3" s="7" t="inlineStr">
        <is>
          <t>ORD-002</t>
        </is>
      </c>
      <c r="B3" s="8" t="inlineStr">
        <is>
          <t>2024-01-08</t>
        </is>
      </c>
      <c r="C3" s="8" t="inlineStr">
        <is>
          <t>Bob Martinez</t>
        </is>
      </c>
      <c r="D3" s="7" t="inlineStr">
        <is>
          <t>South</t>
        </is>
      </c>
      <c r="E3" s="8" t="inlineStr">
        <is>
          <t>Office Chair</t>
        </is>
      </c>
      <c r="F3" s="7" t="inlineStr">
        <is>
          <t>Furniture</t>
        </is>
      </c>
      <c r="G3" s="9" t="n">
        <v>25</v>
      </c>
      <c r="H3" s="10" t="n">
        <v>349</v>
      </c>
      <c r="I3" s="10">
        <f>G3*H3</f>
        <v/>
      </c>
      <c r="J3" s="10">
        <f>I3*0.55</f>
        <v/>
      </c>
      <c r="K3" s="10">
        <f>I3-J3</f>
        <v/>
      </c>
      <c r="L3" s="11">
        <f>IF(I3=0,"-",K3/I3)</f>
        <v/>
      </c>
    </row>
    <row r="4">
      <c r="A4" s="2" t="inlineStr">
        <is>
          <t>ORD-003</t>
        </is>
      </c>
      <c r="B4" s="3" t="inlineStr">
        <is>
          <t>2024-01-12</t>
        </is>
      </c>
      <c r="C4" s="3" t="inlineStr">
        <is>
          <t>Carol White</t>
        </is>
      </c>
      <c r="D4" s="2" t="inlineStr">
        <is>
          <t>East</t>
        </is>
      </c>
      <c r="E4" s="3" t="inlineStr">
        <is>
          <t>Wireless Mouse</t>
        </is>
      </c>
      <c r="F4" s="2" t="inlineStr">
        <is>
          <t>Accessories</t>
        </is>
      </c>
      <c r="G4" s="4" t="n">
        <v>80</v>
      </c>
      <c r="H4" s="5" t="n">
        <v>45</v>
      </c>
      <c r="I4" s="5">
        <f>G4*H4</f>
        <v/>
      </c>
      <c r="J4" s="5">
        <f>I4*0.4</f>
        <v/>
      </c>
      <c r="K4" s="5">
        <f>I4-J4</f>
        <v/>
      </c>
      <c r="L4" s="6">
        <f>IF(I4=0,"-",K4/I4)</f>
        <v/>
      </c>
    </row>
    <row r="5">
      <c r="A5" s="7" t="inlineStr">
        <is>
          <t>ORD-004</t>
        </is>
      </c>
      <c r="B5" s="8" t="inlineStr">
        <is>
          <t>2024-01-15</t>
        </is>
      </c>
      <c r="C5" s="8" t="inlineStr">
        <is>
          <t>David Lee</t>
        </is>
      </c>
      <c r="D5" s="7" t="inlineStr">
        <is>
          <t>West</t>
        </is>
      </c>
      <c r="E5" s="8" t="inlineStr">
        <is>
          <t>Standing Desk</t>
        </is>
      </c>
      <c r="F5" s="7" t="inlineStr">
        <is>
          <t>Furniture</t>
        </is>
      </c>
      <c r="G5" s="9" t="n">
        <v>8</v>
      </c>
      <c r="H5" s="10" t="n">
        <v>899</v>
      </c>
      <c r="I5" s="10">
        <f>G5*H5</f>
        <v/>
      </c>
      <c r="J5" s="10">
        <f>I5*0.55</f>
        <v/>
      </c>
      <c r="K5" s="10">
        <f>I5-J5</f>
        <v/>
      </c>
      <c r="L5" s="11">
        <f>IF(I5=0,"-",K5/I5)</f>
        <v/>
      </c>
    </row>
    <row r="6">
      <c r="A6" s="2" t="inlineStr">
        <is>
          <t>ORD-005</t>
        </is>
      </c>
      <c r="B6" s="3" t="inlineStr">
        <is>
          <t>2024-01-19</t>
        </is>
      </c>
      <c r="C6" s="3" t="inlineStr">
        <is>
          <t>Alice Johnson</t>
        </is>
      </c>
      <c r="D6" s="2" t="inlineStr">
        <is>
          <t>North</t>
        </is>
      </c>
      <c r="E6" s="3" t="inlineStr">
        <is>
          <t>Monitor 27"</t>
        </is>
      </c>
      <c r="F6" s="2" t="inlineStr">
        <is>
          <t>Electronics</t>
        </is>
      </c>
      <c r="G6" s="4" t="n">
        <v>18</v>
      </c>
      <c r="H6" s="5" t="n">
        <v>549</v>
      </c>
      <c r="I6" s="5">
        <f>G6*H6</f>
        <v/>
      </c>
      <c r="J6" s="5">
        <f>I6*0.62</f>
        <v/>
      </c>
      <c r="K6" s="5">
        <f>I6-J6</f>
        <v/>
      </c>
      <c r="L6" s="6">
        <f>IF(I6=0,"-",K6/I6)</f>
        <v/>
      </c>
    </row>
    <row r="7">
      <c r="A7" s="7" t="inlineStr">
        <is>
          <t>ORD-006</t>
        </is>
      </c>
      <c r="B7" s="8" t="inlineStr">
        <is>
          <t>2024-01-22</t>
        </is>
      </c>
      <c r="C7" s="8" t="inlineStr">
        <is>
          <t>Eve Turner</t>
        </is>
      </c>
      <c r="D7" s="7" t="inlineStr">
        <is>
          <t>Central</t>
        </is>
      </c>
      <c r="E7" s="8" t="inlineStr">
        <is>
          <t>Keyboard MX</t>
        </is>
      </c>
      <c r="F7" s="7" t="inlineStr">
        <is>
          <t>Accessories</t>
        </is>
      </c>
      <c r="G7" s="9" t="n">
        <v>60</v>
      </c>
      <c r="H7" s="10" t="n">
        <v>129</v>
      </c>
      <c r="I7" s="10">
        <f>G7*H7</f>
        <v/>
      </c>
      <c r="J7" s="10">
        <f>I7*0.4</f>
        <v/>
      </c>
      <c r="K7" s="10">
        <f>I7-J7</f>
        <v/>
      </c>
      <c r="L7" s="11">
        <f>IF(I7=0,"-",K7/I7)</f>
        <v/>
      </c>
    </row>
    <row r="8">
      <c r="A8" s="2" t="inlineStr">
        <is>
          <t>ORD-007</t>
        </is>
      </c>
      <c r="B8" s="3" t="inlineStr">
        <is>
          <t>2024-02-03</t>
        </is>
      </c>
      <c r="C8" s="3" t="inlineStr">
        <is>
          <t>Bob Martinez</t>
        </is>
      </c>
      <c r="D8" s="2" t="inlineStr">
        <is>
          <t>South</t>
        </is>
      </c>
      <c r="E8" s="3" t="inlineStr">
        <is>
          <t>Laptop Pro 15</t>
        </is>
      </c>
      <c r="F8" s="2" t="inlineStr">
        <is>
          <t>Electronics</t>
        </is>
      </c>
      <c r="G8" s="4" t="n">
        <v>7</v>
      </c>
      <c r="H8" s="5" t="n">
        <v>1299</v>
      </c>
      <c r="I8" s="5">
        <f>G8*H8</f>
        <v/>
      </c>
      <c r="J8" s="5">
        <f>I8*0.62</f>
        <v/>
      </c>
      <c r="K8" s="5">
        <f>I8-J8</f>
        <v/>
      </c>
      <c r="L8" s="6">
        <f>IF(I8=0,"-",K8/I8)</f>
        <v/>
      </c>
    </row>
    <row r="9">
      <c r="A9" s="7" t="inlineStr">
        <is>
          <t>ORD-008</t>
        </is>
      </c>
      <c r="B9" s="8" t="inlineStr">
        <is>
          <t>2024-02-07</t>
        </is>
      </c>
      <c r="C9" s="8" t="inlineStr">
        <is>
          <t>Carol White</t>
        </is>
      </c>
      <c r="D9" s="7" t="inlineStr">
        <is>
          <t>East</t>
        </is>
      </c>
      <c r="E9" s="8" t="inlineStr">
        <is>
          <t>Webcam HD</t>
        </is>
      </c>
      <c r="F9" s="7" t="inlineStr">
        <is>
          <t>Accessories</t>
        </is>
      </c>
      <c r="G9" s="9" t="n">
        <v>45</v>
      </c>
      <c r="H9" s="10" t="n">
        <v>89</v>
      </c>
      <c r="I9" s="10">
        <f>G9*H9</f>
        <v/>
      </c>
      <c r="J9" s="10">
        <f>I9*0.4</f>
        <v/>
      </c>
      <c r="K9" s="10">
        <f>I9-J9</f>
        <v/>
      </c>
      <c r="L9" s="11">
        <f>IF(I9=0,"-",K9/I9)</f>
        <v/>
      </c>
    </row>
    <row r="10">
      <c r="A10" s="2" t="inlineStr">
        <is>
          <t>ORD-009</t>
        </is>
      </c>
      <c r="B10" s="3" t="inlineStr">
        <is>
          <t>2024-02-14</t>
        </is>
      </c>
      <c r="C10" s="3" t="inlineStr">
        <is>
          <t>David Lee</t>
        </is>
      </c>
      <c r="D10" s="2" t="inlineStr">
        <is>
          <t>West</t>
        </is>
      </c>
      <c r="E10" s="3" t="inlineStr">
        <is>
          <t>Office Chair</t>
        </is>
      </c>
      <c r="F10" s="2" t="inlineStr">
        <is>
          <t>Furniture</t>
        </is>
      </c>
      <c r="G10" s="4" t="n">
        <v>15</v>
      </c>
      <c r="H10" s="5" t="n">
        <v>349</v>
      </c>
      <c r="I10" s="5">
        <f>G10*H10</f>
        <v/>
      </c>
      <c r="J10" s="5">
        <f>I10*0.55</f>
        <v/>
      </c>
      <c r="K10" s="5">
        <f>I10-J10</f>
        <v/>
      </c>
      <c r="L10" s="6">
        <f>IF(I10=0,"-",K10/I10)</f>
        <v/>
      </c>
    </row>
    <row r="11">
      <c r="A11" s="7" t="inlineStr">
        <is>
          <t>ORD-010</t>
        </is>
      </c>
      <c r="B11" s="8" t="inlineStr">
        <is>
          <t>2024-02-18</t>
        </is>
      </c>
      <c r="C11" s="8" t="inlineStr">
        <is>
          <t>Eve Turner</t>
        </is>
      </c>
      <c r="D11" s="7" t="inlineStr">
        <is>
          <t>Central</t>
        </is>
      </c>
      <c r="E11" s="8" t="inlineStr">
        <is>
          <t>Monitor 27"</t>
        </is>
      </c>
      <c r="F11" s="7" t="inlineStr">
        <is>
          <t>Electronics</t>
        </is>
      </c>
      <c r="G11" s="9" t="n">
        <v>22</v>
      </c>
      <c r="H11" s="10" t="n">
        <v>549</v>
      </c>
      <c r="I11" s="10">
        <f>G11*H11</f>
        <v/>
      </c>
      <c r="J11" s="10">
        <f>I11*0.62</f>
        <v/>
      </c>
      <c r="K11" s="10">
        <f>I11-J11</f>
        <v/>
      </c>
      <c r="L11" s="11">
        <f>IF(I11=0,"-",K11/I11)</f>
        <v/>
      </c>
    </row>
    <row r="12">
      <c r="A12" s="2" t="inlineStr">
        <is>
          <t>ORD-011</t>
        </is>
      </c>
      <c r="B12" s="3" t="inlineStr">
        <is>
          <t>2024-03-02</t>
        </is>
      </c>
      <c r="C12" s="3" t="inlineStr">
        <is>
          <t>Alice Johnson</t>
        </is>
      </c>
      <c r="D12" s="2" t="inlineStr">
        <is>
          <t>North</t>
        </is>
      </c>
      <c r="E12" s="3" t="inlineStr">
        <is>
          <t>Standing Desk</t>
        </is>
      </c>
      <c r="F12" s="2" t="inlineStr">
        <is>
          <t>Furniture</t>
        </is>
      </c>
      <c r="G12" s="4" t="n">
        <v>5</v>
      </c>
      <c r="H12" s="5" t="n">
        <v>899</v>
      </c>
      <c r="I12" s="5">
        <f>G12*H12</f>
        <v/>
      </c>
      <c r="J12" s="5">
        <f>I12*0.55</f>
        <v/>
      </c>
      <c r="K12" s="5">
        <f>I12-J12</f>
        <v/>
      </c>
      <c r="L12" s="6">
        <f>IF(I12=0,"-",K12/I12)</f>
        <v/>
      </c>
    </row>
    <row r="13">
      <c r="A13" s="7" t="inlineStr">
        <is>
          <t>ORD-012</t>
        </is>
      </c>
      <c r="B13" s="8" t="inlineStr">
        <is>
          <t>2024-03-09</t>
        </is>
      </c>
      <c r="C13" s="8" t="inlineStr">
        <is>
          <t>Bob Martinez</t>
        </is>
      </c>
      <c r="D13" s="7" t="inlineStr">
        <is>
          <t>South</t>
        </is>
      </c>
      <c r="E13" s="8" t="inlineStr">
        <is>
          <t>Wireless Mouse</t>
        </is>
      </c>
      <c r="F13" s="7" t="inlineStr">
        <is>
          <t>Accessories</t>
        </is>
      </c>
      <c r="G13" s="9" t="n">
        <v>100</v>
      </c>
      <c r="H13" s="10" t="n">
        <v>45</v>
      </c>
      <c r="I13" s="10">
        <f>G13*H13</f>
        <v/>
      </c>
      <c r="J13" s="10">
        <f>I13*0.4</f>
        <v/>
      </c>
      <c r="K13" s="10">
        <f>I13-J13</f>
        <v/>
      </c>
      <c r="L13" s="11">
        <f>IF(I13=0,"-",K13/I13)</f>
        <v/>
      </c>
    </row>
    <row r="14">
      <c r="A14" s="2" t="inlineStr">
        <is>
          <t>ORD-013</t>
        </is>
      </c>
      <c r="B14" s="3" t="inlineStr">
        <is>
          <t>2024-03-15</t>
        </is>
      </c>
      <c r="C14" s="3" t="inlineStr">
        <is>
          <t>Carol White</t>
        </is>
      </c>
      <c r="D14" s="2" t="inlineStr">
        <is>
          <t>East</t>
        </is>
      </c>
      <c r="E14" s="3" t="inlineStr">
        <is>
          <t>Laptop Pro 15</t>
        </is>
      </c>
      <c r="F14" s="2" t="inlineStr">
        <is>
          <t>Electronics</t>
        </is>
      </c>
      <c r="G14" s="4" t="n">
        <v>10</v>
      </c>
      <c r="H14" s="5" t="n">
        <v>1299</v>
      </c>
      <c r="I14" s="5">
        <f>G14*H14</f>
        <v/>
      </c>
      <c r="J14" s="5">
        <f>I14*0.62</f>
        <v/>
      </c>
      <c r="K14" s="5">
        <f>I14-J14</f>
        <v/>
      </c>
      <c r="L14" s="6">
        <f>IF(I14=0,"-",K14/I14)</f>
        <v/>
      </c>
    </row>
    <row r="15">
      <c r="A15" s="7" t="inlineStr">
        <is>
          <t>ORD-014</t>
        </is>
      </c>
      <c r="B15" s="8" t="inlineStr">
        <is>
          <t>2024-03-21</t>
        </is>
      </c>
      <c r="C15" s="8" t="inlineStr">
        <is>
          <t>David Lee</t>
        </is>
      </c>
      <c r="D15" s="7" t="inlineStr">
        <is>
          <t>West</t>
        </is>
      </c>
      <c r="E15" s="8" t="inlineStr">
        <is>
          <t>Keyboard MX</t>
        </is>
      </c>
      <c r="F15" s="7" t="inlineStr">
        <is>
          <t>Accessories</t>
        </is>
      </c>
      <c r="G15" s="9" t="n">
        <v>35</v>
      </c>
      <c r="H15" s="10" t="n">
        <v>129</v>
      </c>
      <c r="I15" s="10">
        <f>G15*H15</f>
        <v/>
      </c>
      <c r="J15" s="10">
        <f>I15*0.4</f>
        <v/>
      </c>
      <c r="K15" s="10">
        <f>I15-J15</f>
        <v/>
      </c>
      <c r="L15" s="11">
        <f>IF(I15=0,"-",K15/I15)</f>
        <v/>
      </c>
    </row>
    <row r="16">
      <c r="A16" s="2" t="inlineStr">
        <is>
          <t>ORD-015</t>
        </is>
      </c>
      <c r="B16" s="3" t="inlineStr">
        <is>
          <t>2024-03-28</t>
        </is>
      </c>
      <c r="C16" s="3" t="inlineStr">
        <is>
          <t>Eve Turner</t>
        </is>
      </c>
      <c r="D16" s="2" t="inlineStr">
        <is>
          <t>Central</t>
        </is>
      </c>
      <c r="E16" s="3" t="inlineStr">
        <is>
          <t>Webcam HD</t>
        </is>
      </c>
      <c r="F16" s="2" t="inlineStr">
        <is>
          <t>Accessories</t>
        </is>
      </c>
      <c r="G16" s="4" t="n">
        <v>50</v>
      </c>
      <c r="H16" s="5" t="n">
        <v>89</v>
      </c>
      <c r="I16" s="5">
        <f>G16*H16</f>
        <v/>
      </c>
      <c r="J16" s="5">
        <f>I16*0.4</f>
        <v/>
      </c>
      <c r="K16" s="5">
        <f>I16-J16</f>
        <v/>
      </c>
      <c r="L16" s="6">
        <f>IF(I16=0,"-",K16/I16)</f>
        <v/>
      </c>
    </row>
    <row r="17">
      <c r="A17" s="12" t="inlineStr">
        <is>
          <t>TOTAL</t>
        </is>
      </c>
      <c r="B17" s="12" t="n"/>
      <c r="C17" s="12" t="n"/>
      <c r="D17" s="12" t="n"/>
      <c r="E17" s="12" t="n"/>
      <c r="F17" s="12" t="n"/>
      <c r="G17" s="13">
        <f>SUM(G2:G16)</f>
        <v/>
      </c>
      <c r="H17" s="12" t="n"/>
      <c r="I17" s="14">
        <f>SUM(I2:I16)</f>
        <v/>
      </c>
      <c r="J17" s="14">
        <f>SUM(J2:J16)</f>
        <v/>
      </c>
      <c r="K17" s="14">
        <f>SUM(K2:K16)</f>
        <v/>
      </c>
      <c r="L17" s="15">
        <f>IF(I17=0,"-",K17/I17)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2" customWidth="1" min="4" max="4"/>
    <col width="16" customWidth="1" min="5" max="5"/>
    <col width="13" customWidth="1" min="6" max="6"/>
    <col width="12" customWidth="1" min="7" max="7"/>
    <col width="14" customWidth="1" min="8" max="8"/>
    <col width="8" customWidth="1" min="9" max="9"/>
  </cols>
  <sheetData>
    <row r="1" ht="28" customHeight="1">
      <c r="A1" s="1" t="inlineStr">
        <is>
          <t>Emp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Start Date</t>
        </is>
      </c>
      <c r="G1" s="1" t="inlineStr">
        <is>
          <t>Salary ($)</t>
        </is>
      </c>
      <c r="H1" s="1" t="inlineStr">
        <is>
          <t>Performance</t>
        </is>
      </c>
      <c r="I1" s="1" t="inlineStr">
        <is>
          <t>Active</t>
        </is>
      </c>
    </row>
    <row r="2">
      <c r="A2" s="2" t="inlineStr">
        <is>
          <t>E001</t>
        </is>
      </c>
      <c r="B2" s="3" t="inlineStr">
        <is>
          <t>Alice Johnson</t>
        </is>
      </c>
      <c r="C2" s="2" t="inlineStr">
        <is>
          <t>Sales</t>
        </is>
      </c>
      <c r="D2" s="3" t="inlineStr">
        <is>
          <t>Senior Account Exec</t>
        </is>
      </c>
      <c r="E2" s="2" t="inlineStr">
        <is>
          <t>New York</t>
        </is>
      </c>
      <c r="F2" s="3" t="inlineStr">
        <is>
          <t>2019-03-15</t>
        </is>
      </c>
      <c r="G2" s="16" t="n">
        <v>92000</v>
      </c>
      <c r="H2" s="17" t="inlineStr">
        <is>
          <t>Excellent</t>
        </is>
      </c>
      <c r="I2" s="2" t="inlineStr">
        <is>
          <t>Yes</t>
        </is>
      </c>
    </row>
    <row r="3">
      <c r="A3" s="7" t="inlineStr">
        <is>
          <t>E002</t>
        </is>
      </c>
      <c r="B3" s="8" t="inlineStr">
        <is>
          <t>Bob Martinez</t>
        </is>
      </c>
      <c r="C3" s="7" t="inlineStr">
        <is>
          <t>Sales</t>
        </is>
      </c>
      <c r="D3" s="8" t="inlineStr">
        <is>
          <t>Account Executive</t>
        </is>
      </c>
      <c r="E3" s="7" t="inlineStr">
        <is>
          <t>Miami</t>
        </is>
      </c>
      <c r="F3" s="8" t="inlineStr">
        <is>
          <t>2020-07-01</t>
        </is>
      </c>
      <c r="G3" s="18" t="n">
        <v>74000</v>
      </c>
      <c r="H3" s="19" t="inlineStr">
        <is>
          <t>Good</t>
        </is>
      </c>
      <c r="I3" s="7" t="inlineStr">
        <is>
          <t>Yes</t>
        </is>
      </c>
    </row>
    <row r="4">
      <c r="A4" s="2" t="inlineStr">
        <is>
          <t>E003</t>
        </is>
      </c>
      <c r="B4" s="3" t="inlineStr">
        <is>
          <t>Carol White</t>
        </is>
      </c>
      <c r="C4" s="2" t="inlineStr">
        <is>
          <t>Sales</t>
        </is>
      </c>
      <c r="D4" s="3" t="inlineStr">
        <is>
          <t>Account Executive</t>
        </is>
      </c>
      <c r="E4" s="2" t="inlineStr">
        <is>
          <t>Boston</t>
        </is>
      </c>
      <c r="F4" s="3" t="inlineStr">
        <is>
          <t>2021-01-10</t>
        </is>
      </c>
      <c r="G4" s="16" t="n">
        <v>71000</v>
      </c>
      <c r="H4" s="20" t="inlineStr">
        <is>
          <t>Good</t>
        </is>
      </c>
      <c r="I4" s="2" t="inlineStr">
        <is>
          <t>Yes</t>
        </is>
      </c>
    </row>
    <row r="5">
      <c r="A5" s="7" t="inlineStr">
        <is>
          <t>E004</t>
        </is>
      </c>
      <c r="B5" s="8" t="inlineStr">
        <is>
          <t>David Lee</t>
        </is>
      </c>
      <c r="C5" s="7" t="inlineStr">
        <is>
          <t>Sales</t>
        </is>
      </c>
      <c r="D5" s="8" t="inlineStr">
        <is>
          <t>Account Executive</t>
        </is>
      </c>
      <c r="E5" s="7" t="inlineStr">
        <is>
          <t>San Francisco</t>
        </is>
      </c>
      <c r="F5" s="8" t="inlineStr">
        <is>
          <t>2020-11-20</t>
        </is>
      </c>
      <c r="G5" s="18" t="n">
        <v>76000</v>
      </c>
      <c r="H5" s="21" t="inlineStr">
        <is>
          <t>Excellent</t>
        </is>
      </c>
      <c r="I5" s="7" t="inlineStr">
        <is>
          <t>Yes</t>
        </is>
      </c>
    </row>
    <row r="6">
      <c r="A6" s="2" t="inlineStr">
        <is>
          <t>E005</t>
        </is>
      </c>
      <c r="B6" s="3" t="inlineStr">
        <is>
          <t>Eve Turner</t>
        </is>
      </c>
      <c r="C6" s="2" t="inlineStr">
        <is>
          <t>Sales</t>
        </is>
      </c>
      <c r="D6" s="3" t="inlineStr">
        <is>
          <t>Junior Sales Rep</t>
        </is>
      </c>
      <c r="E6" s="2" t="inlineStr">
        <is>
          <t>Chicago</t>
        </is>
      </c>
      <c r="F6" s="3" t="inlineStr">
        <is>
          <t>2022-06-05</t>
        </is>
      </c>
      <c r="G6" s="16" t="n">
        <v>58000</v>
      </c>
      <c r="H6" s="22" t="inlineStr">
        <is>
          <t>Satisfactory</t>
        </is>
      </c>
      <c r="I6" s="2" t="inlineStr">
        <is>
          <t>Yes</t>
        </is>
      </c>
    </row>
    <row r="7">
      <c r="A7" s="7" t="inlineStr">
        <is>
          <t>E006</t>
        </is>
      </c>
      <c r="B7" s="8" t="inlineStr">
        <is>
          <t>Frank Brown</t>
        </is>
      </c>
      <c r="C7" s="7" t="inlineStr">
        <is>
          <t>Engineering</t>
        </is>
      </c>
      <c r="D7" s="8" t="inlineStr">
        <is>
          <t>Lead Engineer</t>
        </is>
      </c>
      <c r="E7" s="7" t="inlineStr">
        <is>
          <t>New York</t>
        </is>
      </c>
      <c r="F7" s="8" t="inlineStr">
        <is>
          <t>2017-09-12</t>
        </is>
      </c>
      <c r="G7" s="18" t="n">
        <v>145000</v>
      </c>
      <c r="H7" s="21" t="inlineStr">
        <is>
          <t>Excellent</t>
        </is>
      </c>
      <c r="I7" s="7" t="inlineStr">
        <is>
          <t>Yes</t>
        </is>
      </c>
    </row>
    <row r="8">
      <c r="A8" s="2" t="inlineStr">
        <is>
          <t>E007</t>
        </is>
      </c>
      <c r="B8" s="3" t="inlineStr">
        <is>
          <t>Grace Kim</t>
        </is>
      </c>
      <c r="C8" s="2" t="inlineStr">
        <is>
          <t>Engineering</t>
        </is>
      </c>
      <c r="D8" s="3" t="inlineStr">
        <is>
          <t>Senior Engineer</t>
        </is>
      </c>
      <c r="E8" s="2" t="inlineStr">
        <is>
          <t>Seattle</t>
        </is>
      </c>
      <c r="F8" s="3" t="inlineStr">
        <is>
          <t>2018-04-22</t>
        </is>
      </c>
      <c r="G8" s="16" t="n">
        <v>132000</v>
      </c>
      <c r="H8" s="20" t="inlineStr">
        <is>
          <t>Good</t>
        </is>
      </c>
      <c r="I8" s="2" t="inlineStr">
        <is>
          <t>Yes</t>
        </is>
      </c>
    </row>
    <row r="9">
      <c r="A9" s="7" t="inlineStr">
        <is>
          <t>E008</t>
        </is>
      </c>
      <c r="B9" s="8" t="inlineStr">
        <is>
          <t>Henry Davis</t>
        </is>
      </c>
      <c r="C9" s="7" t="inlineStr">
        <is>
          <t>Engineering</t>
        </is>
      </c>
      <c r="D9" s="8" t="inlineStr">
        <is>
          <t>Engineer II</t>
        </is>
      </c>
      <c r="E9" s="7" t="inlineStr">
        <is>
          <t>Austin</t>
        </is>
      </c>
      <c r="F9" s="8" t="inlineStr">
        <is>
          <t>2021-08-30</t>
        </is>
      </c>
      <c r="G9" s="18" t="n">
        <v>105000</v>
      </c>
      <c r="H9" s="19" t="inlineStr">
        <is>
          <t>Good</t>
        </is>
      </c>
      <c r="I9" s="7" t="inlineStr">
        <is>
          <t>Yes</t>
        </is>
      </c>
    </row>
    <row r="10">
      <c r="A10" s="2" t="inlineStr">
        <is>
          <t>E009</t>
        </is>
      </c>
      <c r="B10" s="3" t="inlineStr">
        <is>
          <t>Isla Clark</t>
        </is>
      </c>
      <c r="C10" s="2" t="inlineStr">
        <is>
          <t>Engineering</t>
        </is>
      </c>
      <c r="D10" s="3" t="inlineStr">
        <is>
          <t>Engineer I</t>
        </is>
      </c>
      <c r="E10" s="2" t="inlineStr">
        <is>
          <t>Remote</t>
        </is>
      </c>
      <c r="F10" s="3" t="inlineStr">
        <is>
          <t>2023-01-16</t>
        </is>
      </c>
      <c r="G10" s="16" t="n">
        <v>88000</v>
      </c>
      <c r="H10" s="22" t="inlineStr">
        <is>
          <t>Satisfactory</t>
        </is>
      </c>
      <c r="I10" s="2" t="inlineStr">
        <is>
          <t>Yes</t>
        </is>
      </c>
    </row>
    <row r="11">
      <c r="A11" s="7" t="inlineStr">
        <is>
          <t>E010</t>
        </is>
      </c>
      <c r="B11" s="8" t="inlineStr">
        <is>
          <t>Jack Wilson</t>
        </is>
      </c>
      <c r="C11" s="7" t="inlineStr">
        <is>
          <t>Marketing</t>
        </is>
      </c>
      <c r="D11" s="8" t="inlineStr">
        <is>
          <t>Marketing Manager</t>
        </is>
      </c>
      <c r="E11" s="7" t="inlineStr">
        <is>
          <t>New York</t>
        </is>
      </c>
      <c r="F11" s="8" t="inlineStr">
        <is>
          <t>2019-06-10</t>
        </is>
      </c>
      <c r="G11" s="18" t="n">
        <v>98000</v>
      </c>
      <c r="H11" s="21" t="inlineStr">
        <is>
          <t>Excellent</t>
        </is>
      </c>
      <c r="I11" s="7" t="inlineStr">
        <is>
          <t>Yes</t>
        </is>
      </c>
    </row>
    <row r="12">
      <c r="A12" s="2" t="inlineStr">
        <is>
          <t>E011</t>
        </is>
      </c>
      <c r="B12" s="3" t="inlineStr">
        <is>
          <t>Karen Moore</t>
        </is>
      </c>
      <c r="C12" s="2" t="inlineStr">
        <is>
          <t>Marketing</t>
        </is>
      </c>
      <c r="D12" s="3" t="inlineStr">
        <is>
          <t>Content Strategist</t>
        </is>
      </c>
      <c r="E12" s="2" t="inlineStr">
        <is>
          <t>Los Angeles</t>
        </is>
      </c>
      <c r="F12" s="3" t="inlineStr">
        <is>
          <t>2020-03-25</t>
        </is>
      </c>
      <c r="G12" s="16" t="n">
        <v>82000</v>
      </c>
      <c r="H12" s="20" t="inlineStr">
        <is>
          <t>Good</t>
        </is>
      </c>
      <c r="I12" s="2" t="inlineStr">
        <is>
          <t>Yes</t>
        </is>
      </c>
    </row>
    <row r="13">
      <c r="A13" s="7" t="inlineStr">
        <is>
          <t>E012</t>
        </is>
      </c>
      <c r="B13" s="8" t="inlineStr">
        <is>
          <t>Leo Garcia</t>
        </is>
      </c>
      <c r="C13" s="7" t="inlineStr">
        <is>
          <t>HR</t>
        </is>
      </c>
      <c r="D13" s="8" t="inlineStr">
        <is>
          <t>HR Director</t>
        </is>
      </c>
      <c r="E13" s="7" t="inlineStr">
        <is>
          <t>New York</t>
        </is>
      </c>
      <c r="F13" s="8" t="inlineStr">
        <is>
          <t>2016-11-08</t>
        </is>
      </c>
      <c r="G13" s="18" t="n">
        <v>118000</v>
      </c>
      <c r="H13" s="21" t="inlineStr">
        <is>
          <t>Excellent</t>
        </is>
      </c>
      <c r="I13" s="7" t="inlineStr">
        <is>
          <t>Yes</t>
        </is>
      </c>
    </row>
    <row r="14">
      <c r="A14" s="2" t="inlineStr">
        <is>
          <t>E013</t>
        </is>
      </c>
      <c r="B14" s="3" t="inlineStr">
        <is>
          <t>Mia Taylor</t>
        </is>
      </c>
      <c r="C14" s="2" t="inlineStr">
        <is>
          <t>HR</t>
        </is>
      </c>
      <c r="D14" s="3" t="inlineStr">
        <is>
          <t>HR Generalist</t>
        </is>
      </c>
      <c r="E14" s="2" t="inlineStr">
        <is>
          <t>Chicago</t>
        </is>
      </c>
      <c r="F14" s="3" t="inlineStr">
        <is>
          <t>2022-02-14</t>
        </is>
      </c>
      <c r="G14" s="16" t="n">
        <v>67000</v>
      </c>
      <c r="H14" s="20" t="inlineStr">
        <is>
          <t>Good</t>
        </is>
      </c>
      <c r="I14" s="2" t="inlineStr">
        <is>
          <t>Yes</t>
        </is>
      </c>
    </row>
    <row r="15">
      <c r="A15" s="7" t="inlineStr">
        <is>
          <t>E014</t>
        </is>
      </c>
      <c r="B15" s="8" t="inlineStr">
        <is>
          <t>Noah Anderson</t>
        </is>
      </c>
      <c r="C15" s="7" t="inlineStr">
        <is>
          <t>Finance</t>
        </is>
      </c>
      <c r="D15" s="8" t="inlineStr">
        <is>
          <t>CFO</t>
        </is>
      </c>
      <c r="E15" s="7" t="inlineStr">
        <is>
          <t>New York</t>
        </is>
      </c>
      <c r="F15" s="8" t="inlineStr">
        <is>
          <t>2015-05-01</t>
        </is>
      </c>
      <c r="G15" s="18" t="n">
        <v>210000</v>
      </c>
      <c r="H15" s="21" t="inlineStr">
        <is>
          <t>Excellent</t>
        </is>
      </c>
      <c r="I15" s="7" t="inlineStr">
        <is>
          <t>Yes</t>
        </is>
      </c>
    </row>
    <row r="16">
      <c r="A16" s="2" t="inlineStr">
        <is>
          <t>E015</t>
        </is>
      </c>
      <c r="B16" s="3" t="inlineStr">
        <is>
          <t>Olivia Thomas</t>
        </is>
      </c>
      <c r="C16" s="2" t="inlineStr">
        <is>
          <t>Finance</t>
        </is>
      </c>
      <c r="D16" s="3" t="inlineStr">
        <is>
          <t>Financial Analyst</t>
        </is>
      </c>
      <c r="E16" s="2" t="inlineStr">
        <is>
          <t>New York</t>
        </is>
      </c>
      <c r="F16" s="3" t="inlineStr">
        <is>
          <t>2021-09-20</t>
        </is>
      </c>
      <c r="G16" s="16" t="n">
        <v>86000</v>
      </c>
      <c r="H16" s="20" t="inlineStr">
        <is>
          <t>Good</t>
        </is>
      </c>
      <c r="I16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  <col width="16" customWidth="1" min="5" max="5"/>
    <col width="15" customWidth="1" min="6" max="6"/>
    <col width="12" customWidth="1" min="7" max="7"/>
  </cols>
  <sheetData>
    <row r="1" ht="28" customHeight="1">
      <c r="A1" s="23" t="inlineStr">
        <is>
          <t>Monthly KPI Dashboard — FY 2024</t>
        </is>
      </c>
    </row>
    <row r="2" ht="30" customHeight="1">
      <c r="A2" s="1" t="inlineStr">
        <is>
          <t>Month</t>
        </is>
      </c>
      <c r="B2" s="1" t="inlineStr">
        <is>
          <t>Revenue ($)</t>
        </is>
      </c>
      <c r="C2" s="1" t="inlineStr">
        <is>
          <t>Target ($)</t>
        </is>
      </c>
      <c r="D2" s="1" t="inlineStr">
        <is>
          <t>Attainment (%)</t>
        </is>
      </c>
      <c r="E2" s="1" t="inlineStr">
        <is>
          <t>New Customers</t>
        </is>
      </c>
      <c r="F2" s="1" t="inlineStr">
        <is>
          <t>Churn Rate (%)</t>
        </is>
      </c>
      <c r="G2" s="1" t="inlineStr">
        <is>
          <t>NPS Score</t>
        </is>
      </c>
    </row>
    <row r="3">
      <c r="A3" s="2" t="inlineStr">
        <is>
          <t>Jan 2024</t>
        </is>
      </c>
      <c r="B3" s="16" t="n">
        <v>248600</v>
      </c>
      <c r="C3" s="16" t="n">
        <v>250000</v>
      </c>
      <c r="D3" s="24">
        <f>B3/C3</f>
        <v/>
      </c>
      <c r="E3" s="2" t="n">
        <v>35</v>
      </c>
      <c r="F3" s="25" t="n">
        <v>0.021</v>
      </c>
      <c r="G3" s="2" t="n">
        <v>42</v>
      </c>
    </row>
    <row r="4">
      <c r="A4" s="7" t="inlineStr">
        <is>
          <t>Feb 2024</t>
        </is>
      </c>
      <c r="B4" s="18" t="n">
        <v>267300</v>
      </c>
      <c r="C4" s="18" t="n">
        <v>260000</v>
      </c>
      <c r="D4" s="26">
        <f>B4/C4</f>
        <v/>
      </c>
      <c r="E4" s="7" t="n">
        <v>41</v>
      </c>
      <c r="F4" s="27" t="n">
        <v>0.018</v>
      </c>
      <c r="G4" s="7" t="n">
        <v>45</v>
      </c>
    </row>
    <row r="5">
      <c r="A5" s="2" t="inlineStr">
        <is>
          <t>Mar 2024</t>
        </is>
      </c>
      <c r="B5" s="16" t="n">
        <v>312800</v>
      </c>
      <c r="C5" s="16" t="n">
        <v>300000</v>
      </c>
      <c r="D5" s="28">
        <f>B5/C5</f>
        <v/>
      </c>
      <c r="E5" s="2" t="n">
        <v>58</v>
      </c>
      <c r="F5" s="25" t="n">
        <v>0.023</v>
      </c>
      <c r="G5" s="2" t="n">
        <v>48</v>
      </c>
    </row>
    <row r="6">
      <c r="A6" s="7" t="inlineStr">
        <is>
          <t>Apr 2024</t>
        </is>
      </c>
      <c r="B6" s="18" t="n">
        <v>289500</v>
      </c>
      <c r="C6" s="18" t="n">
        <v>310000</v>
      </c>
      <c r="D6" s="29">
        <f>B6/C6</f>
        <v/>
      </c>
      <c r="E6" s="7" t="n">
        <v>44</v>
      </c>
      <c r="F6" s="27" t="n">
        <v>0.02</v>
      </c>
      <c r="G6" s="7" t="n">
        <v>47</v>
      </c>
    </row>
    <row r="7">
      <c r="A7" s="2" t="inlineStr">
        <is>
          <t>May 2024</t>
        </is>
      </c>
      <c r="B7" s="16" t="n">
        <v>334200</v>
      </c>
      <c r="C7" s="16" t="n">
        <v>320000</v>
      </c>
      <c r="D7" s="28">
        <f>B7/C7</f>
        <v/>
      </c>
      <c r="E7" s="2" t="n">
        <v>52</v>
      </c>
      <c r="F7" s="25" t="n">
        <v>0.016</v>
      </c>
      <c r="G7" s="2" t="n">
        <v>51</v>
      </c>
    </row>
    <row r="8">
      <c r="A8" s="7" t="inlineStr">
        <is>
          <t>Jun 2024</t>
        </is>
      </c>
      <c r="B8" s="18" t="n">
        <v>358900</v>
      </c>
      <c r="C8" s="18" t="n">
        <v>340000</v>
      </c>
      <c r="D8" s="26">
        <f>B8/C8</f>
        <v/>
      </c>
      <c r="E8" s="7" t="n">
        <v>61</v>
      </c>
      <c r="F8" s="27" t="n">
        <v>0.019</v>
      </c>
      <c r="G8" s="7" t="n">
        <v>53</v>
      </c>
    </row>
    <row r="9">
      <c r="A9" s="2" t="inlineStr">
        <is>
          <t>Jul 2024</t>
        </is>
      </c>
      <c r="B9" s="16" t="n">
        <v>301400</v>
      </c>
      <c r="C9" s="16" t="n">
        <v>345000</v>
      </c>
      <c r="D9" s="24">
        <f>B9/C9</f>
        <v/>
      </c>
      <c r="E9" s="2" t="n">
        <v>39</v>
      </c>
      <c r="F9" s="25" t="n">
        <v>0.025</v>
      </c>
      <c r="G9" s="2" t="n">
        <v>49</v>
      </c>
    </row>
    <row r="10">
      <c r="A10" s="7" t="inlineStr">
        <is>
          <t>Aug 2024</t>
        </is>
      </c>
      <c r="B10" s="18" t="n">
        <v>319800</v>
      </c>
      <c r="C10" s="18" t="n">
        <v>350000</v>
      </c>
      <c r="D10" s="29">
        <f>B10/C10</f>
        <v/>
      </c>
      <c r="E10" s="7" t="n">
        <v>47</v>
      </c>
      <c r="F10" s="27" t="n">
        <v>0.022</v>
      </c>
      <c r="G10" s="7" t="n">
        <v>50</v>
      </c>
    </row>
    <row r="11">
      <c r="A11" s="2" t="inlineStr">
        <is>
          <t>Sep 2024</t>
        </is>
      </c>
      <c r="B11" s="16" t="n">
        <v>387600</v>
      </c>
      <c r="C11" s="16" t="n">
        <v>360000</v>
      </c>
      <c r="D11" s="28">
        <f>B11/C11</f>
        <v/>
      </c>
      <c r="E11" s="2" t="n">
        <v>68</v>
      </c>
      <c r="F11" s="25" t="n">
        <v>0.017</v>
      </c>
      <c r="G11" s="2" t="n">
        <v>55</v>
      </c>
    </row>
    <row r="12">
      <c r="A12" s="7" t="inlineStr">
        <is>
          <t>Oct 2024</t>
        </is>
      </c>
      <c r="B12" s="18" t="n">
        <v>401200</v>
      </c>
      <c r="C12" s="18" t="n">
        <v>370000</v>
      </c>
      <c r="D12" s="26">
        <f>B12/C12</f>
        <v/>
      </c>
      <c r="E12" s="7" t="n">
        <v>73</v>
      </c>
      <c r="F12" s="27" t="n">
        <v>0.015</v>
      </c>
      <c r="G12" s="7" t="n">
        <v>57</v>
      </c>
    </row>
    <row r="13">
      <c r="A13" s="2" t="inlineStr">
        <is>
          <t>Nov 2024</t>
        </is>
      </c>
      <c r="B13" s="16" t="n">
        <v>423700</v>
      </c>
      <c r="C13" s="16" t="n">
        <v>385000</v>
      </c>
      <c r="D13" s="28">
        <f>B13/C13</f>
        <v/>
      </c>
      <c r="E13" s="2" t="n">
        <v>79</v>
      </c>
      <c r="F13" s="25" t="n">
        <v>0.014</v>
      </c>
      <c r="G13" s="2" t="n">
        <v>59</v>
      </c>
    </row>
    <row r="14">
      <c r="A14" s="7" t="inlineStr">
        <is>
          <t>Dec 2024</t>
        </is>
      </c>
      <c r="B14" s="18" t="n">
        <v>468900</v>
      </c>
      <c r="C14" s="18" t="n">
        <v>400000</v>
      </c>
      <c r="D14" s="26">
        <f>B14/C14</f>
        <v/>
      </c>
      <c r="E14" s="7" t="n">
        <v>88</v>
      </c>
      <c r="F14" s="27" t="n">
        <v>0.012</v>
      </c>
      <c r="G14" s="7" t="n">
        <v>62</v>
      </c>
    </row>
    <row r="15">
      <c r="A15" s="12" t="inlineStr">
        <is>
          <t>FULL YEAR</t>
        </is>
      </c>
      <c r="B15" s="13">
        <f>SUM(B3:B14)</f>
        <v/>
      </c>
      <c r="C15" s="13">
        <f>SUM(C3:C14)</f>
        <v/>
      </c>
      <c r="D15" s="15">
        <f>B15/C15</f>
        <v/>
      </c>
      <c r="E15" s="13">
        <f>SUM(E3:E14)</f>
        <v/>
      </c>
      <c r="F15" s="30">
        <f>AVERAGE(F3:F14)</f>
        <v/>
      </c>
      <c r="G15" s="31">
        <f>AVERAGE(G3:G14)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2026-05-25T12:42:03Z</dcterms:created>
  <dcterms:modified xmlns:dcterms="http://purl.org/dc/terms/" xmlns:xsi="http://www.w3.org/2001/XMLSchema-instance" xsi:type="dcterms:W3CDTF">2026-05-25T12:42:03Z</dcterms:modified>
</cp:coreProperties>
</file>